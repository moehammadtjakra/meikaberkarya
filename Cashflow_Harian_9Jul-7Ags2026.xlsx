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hflow Hari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<sst xmlns="http://schemas.openxmlformats.org/spreadsheetml/2006/main" count="78" uniqueCount="55">
  <si>
    <t xml:space="preserve">Proyeksi Cashflow Harian — 9 Juli 2026 s/d 7 Agustus 2026</t>
  </si>
  <si>
    <t xml:space="preserve">Meika Berkarya • J&amp;T Business Intelligence Dashboard  |  Mode: Skema Lama (cair Senin/Selasa/Kamis)</t>
  </si>
  <si>
    <t xml:space="preserve">Closing 55%  •  Success Delivery 80%  •  Order COD 95% / Transfer 5%  •  Ongkir Rp61.450  •  Cashback 41%  •  COD Fee 1,5%  •  Durasi kirim 7,3 hari  •  Opex Rp0/30 hari</t>
  </si>
  <si>
    <t xml:space="preserve">Produk: Sikat Punggung (Budget 15jt/hari, CPL 14.000, Harga 35.000, HPP 5.500)  |  Topi Komando (Budget 8jt/hari, CPL 13.000, Harga 75.000, HPP 11.500)</t>
  </si>
  <si>
    <t xml:space="preserve">Angka biru = hasil simulasi (kas masuk COD/transfer &amp; kas keluar). Angka hitam = formula. COD cair mengikuti tanggal paket diterima + jadwal pencairan J&amp;T.</t>
  </si>
  <si>
    <t xml:space="preserve">Tanggal</t>
  </si>
  <si>
    <t xml:space="preserve">Hari</t>
  </si>
  <si>
    <t xml:space="preserve">Kas Masuk COD (cair)</t>
  </si>
  <si>
    <t xml:space="preserve">Kas Masuk Transfer</t>
  </si>
  <si>
    <t xml:space="preserve">Kas Keluar Ads</t>
  </si>
  <si>
    <t xml:space="preserve">Kas Keluar HPP</t>
  </si>
  <si>
    <t xml:space="preserve">Kas Keluar Operasional</t>
  </si>
  <si>
    <t xml:space="preserve">Total Kas Masuk</t>
  </si>
  <si>
    <t xml:space="preserve">Total Kas Keluar</t>
  </si>
  <si>
    <t xml:space="preserve">Laba Bersih</t>
  </si>
  <si>
    <t xml:space="preserve">Saldo Awal</t>
  </si>
  <si>
    <t xml:space="preserve">Saldo Akhir</t>
  </si>
  <si>
    <t xml:space="preserve">2026-07-09</t>
  </si>
  <si>
    <t xml:space="preserve">Thu</t>
  </si>
  <si>
    <t xml:space="preserve">2026-07-10</t>
  </si>
  <si>
    <t xml:space="preserve">Fri</t>
  </si>
  <si>
    <t xml:space="preserve">2026-07-11</t>
  </si>
  <si>
    <t xml:space="preserve">Sat</t>
  </si>
  <si>
    <t xml:space="preserve">2026-07-12</t>
  </si>
  <si>
    <t xml:space="preserve">Sun</t>
  </si>
  <si>
    <t xml:space="preserve">2026-07-13</t>
  </si>
  <si>
    <t xml:space="preserve">Mon</t>
  </si>
  <si>
    <t xml:space="preserve">2026-07-14</t>
  </si>
  <si>
    <t xml:space="preserve">Tue</t>
  </si>
  <si>
    <t xml:space="preserve">2026-07-15</t>
  </si>
  <si>
    <t xml:space="preserve">Wed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</si>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</sst>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3864"/>
      </patternFill>
    </fill>
    <fill>
      <patternFill patternType="solid">
        <fgColor rgb="FFF5F8FC"/>
        <bgColor rgb="FFFFFFFF"/>
      </patternFill>
    </fill>
    <fill>
      <patternFill patternType="solid">
        <fgColor rgb="FFDDEBF7"/>
        <bgColor rgb="FFF5F8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8F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9" min="8" style="0" width="17"/>
    <col collapsed="false" customWidth="true" hidden="false" outlineLevel="0" max="12" min="10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15" hidden="false" customHeight="false" outlineLevel="0" collapsed="false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7" customFormat="false" ht="23.85" hidden="false" customHeight="false" outlineLevel="0" collapsed="false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14</v>
      </c>
      <c r="K7" s="3" t="s">
        <v>15</v>
      </c>
      <c r="L7" s="3" t="s">
        <v>16</v>
      </c>
    </row>
    <row r="8" customFormat="false" ht="15" hidden="false" customHeight="false" outlineLevel="0" collapsed="false">
      <c r="A8" s="4" t="s">
        <v>17</v>
      </c>
      <c r="B8" s="4" t="s">
        <v>18</v>
      </c>
      <c r="C8" s="5" t="n">
        <v>0</v>
      </c>
      <c r="D8" s="5" t="n">
        <v>4120787</v>
      </c>
      <c r="E8" s="5" t="n">
        <v>23000000</v>
      </c>
      <c r="F8" s="5" t="n">
        <v>7133379</v>
      </c>
      <c r="G8" s="5" t="n">
        <v>0</v>
      </c>
      <c r="H8" s="6" t="n">
        <f aca="false">C8+D8</f>
        <v>4120787</v>
      </c>
      <c r="I8" s="6" t="n">
        <f aca="false">E8+F8+G8</f>
        <v>30133379</v>
      </c>
      <c r="J8" s="6" t="n">
        <f aca="false">H8-I8</f>
        <v>-26012592</v>
      </c>
      <c r="K8" s="6" t="n">
        <v>0</v>
      </c>
      <c r="L8" s="6" t="n">
        <f aca="false">K8+J8</f>
        <v>-26012592</v>
      </c>
    </row>
    <row r="9" customFormat="false" ht="15" hidden="false" customHeight="false" outlineLevel="0" collapsed="false">
      <c r="A9" s="7" t="s">
        <v>19</v>
      </c>
      <c r="B9" s="7" t="s">
        <v>20</v>
      </c>
      <c r="C9" s="8" t="n">
        <v>0</v>
      </c>
      <c r="D9" s="8" t="n">
        <v>4120787</v>
      </c>
      <c r="E9" s="8" t="n">
        <v>23000000</v>
      </c>
      <c r="F9" s="8" t="n">
        <v>7133379</v>
      </c>
      <c r="G9" s="8" t="n">
        <v>0</v>
      </c>
      <c r="H9" s="9" t="n">
        <f aca="false">C9+D9</f>
        <v>4120787</v>
      </c>
      <c r="I9" s="9" t="n">
        <f aca="false">E9+F9+G9</f>
        <v>30133379</v>
      </c>
      <c r="J9" s="9" t="n">
        <f aca="false">H9-I9</f>
        <v>-26012592</v>
      </c>
      <c r="K9" s="9" t="n">
        <f aca="false">L8</f>
        <v>-26012592</v>
      </c>
      <c r="L9" s="9" t="n">
        <f aca="false">K9+J9</f>
        <v>-52025184</v>
      </c>
    </row>
    <row r="10" customFormat="false" ht="15" hidden="false" customHeight="false" outlineLevel="0" collapsed="false">
      <c r="A10" s="4" t="s">
        <v>21</v>
      </c>
      <c r="B10" s="4" t="s">
        <v>22</v>
      </c>
      <c r="C10" s="5" t="n">
        <v>0</v>
      </c>
      <c r="D10" s="5" t="n">
        <v>4120787</v>
      </c>
      <c r="E10" s="5" t="n">
        <v>23000000</v>
      </c>
      <c r="F10" s="5" t="n">
        <v>7133379</v>
      </c>
      <c r="G10" s="5" t="n">
        <v>0</v>
      </c>
      <c r="H10" s="6" t="n">
        <f aca="false">C10+D10</f>
        <v>4120787</v>
      </c>
      <c r="I10" s="6" t="n">
        <f aca="false">E10+F10+G10</f>
        <v>30133379</v>
      </c>
      <c r="J10" s="6" t="n">
        <f aca="false">H10-I10</f>
        <v>-26012592</v>
      </c>
      <c r="K10" s="6" t="n">
        <f aca="false">L9</f>
        <v>-52025184</v>
      </c>
      <c r="L10" s="6" t="n">
        <f aca="false">K10+J10</f>
        <v>-78037776</v>
      </c>
    </row>
    <row r="11" customFormat="false" ht="15" hidden="false" customHeight="false" outlineLevel="0" collapsed="false">
      <c r="A11" s="7" t="s">
        <v>23</v>
      </c>
      <c r="B11" s="7" t="s">
        <v>24</v>
      </c>
      <c r="C11" s="8" t="n">
        <v>0</v>
      </c>
      <c r="D11" s="8" t="n">
        <v>4120787</v>
      </c>
      <c r="E11" s="8" t="n">
        <v>23000000</v>
      </c>
      <c r="F11" s="8" t="n">
        <v>7133379</v>
      </c>
      <c r="G11" s="8" t="n">
        <v>0</v>
      </c>
      <c r="H11" s="9" t="n">
        <f aca="false">C11+D11</f>
        <v>4120787</v>
      </c>
      <c r="I11" s="9" t="n">
        <f aca="false">E11+F11+G11</f>
        <v>30133379</v>
      </c>
      <c r="J11" s="9" t="n">
        <f aca="false">H11-I11</f>
        <v>-26012592</v>
      </c>
      <c r="K11" s="9" t="n">
        <f aca="false">L10</f>
        <v>-78037776</v>
      </c>
      <c r="L11" s="9" t="n">
        <f aca="false">K11+J11</f>
        <v>-104050368</v>
      </c>
    </row>
    <row r="12" customFormat="false" ht="15" hidden="false" customHeight="false" outlineLevel="0" collapsed="false">
      <c r="A12" s="4" t="s">
        <v>25</v>
      </c>
      <c r="B12" s="4" t="s">
        <v>26</v>
      </c>
      <c r="C12" s="5" t="n">
        <v>0</v>
      </c>
      <c r="D12" s="5" t="n">
        <v>4120787</v>
      </c>
      <c r="E12" s="5" t="n">
        <v>23000000</v>
      </c>
      <c r="F12" s="5" t="n">
        <v>7133379</v>
      </c>
      <c r="G12" s="5" t="n">
        <v>0</v>
      </c>
      <c r="H12" s="6" t="n">
        <f aca="false">C12+D12</f>
        <v>4120787</v>
      </c>
      <c r="I12" s="6" t="n">
        <f aca="false">E12+F12+G12</f>
        <v>30133379</v>
      </c>
      <c r="J12" s="6" t="n">
        <f aca="false">H12-I12</f>
        <v>-26012592</v>
      </c>
      <c r="K12" s="6" t="n">
        <f aca="false">L11</f>
        <v>-104050368</v>
      </c>
      <c r="L12" s="6" t="n">
        <f aca="false">K12+J12</f>
        <v>-130062960</v>
      </c>
    </row>
    <row r="13" customFormat="false" ht="15" hidden="false" customHeight="false" outlineLevel="0" collapsed="false">
      <c r="A13" s="7" t="s">
        <v>27</v>
      </c>
      <c r="B13" s="7" t="s">
        <v>28</v>
      </c>
      <c r="C13" s="8" t="n">
        <v>24340978</v>
      </c>
      <c r="D13" s="8" t="n">
        <v>4120787</v>
      </c>
      <c r="E13" s="8" t="n">
        <v>23000000</v>
      </c>
      <c r="F13" s="8" t="n">
        <v>7133379</v>
      </c>
      <c r="G13" s="8" t="n">
        <v>0</v>
      </c>
      <c r="H13" s="9" t="n">
        <f aca="false">C13+D13</f>
        <v>28461765</v>
      </c>
      <c r="I13" s="9" t="n">
        <f aca="false">E13+F13+G13</f>
        <v>30133379</v>
      </c>
      <c r="J13" s="9" t="n">
        <f aca="false">H13-I13</f>
        <v>-1671614</v>
      </c>
      <c r="K13" s="9" t="n">
        <f aca="false">L12</f>
        <v>-130062960</v>
      </c>
      <c r="L13" s="9" t="n">
        <f aca="false">K13+J13</f>
        <v>-131734574</v>
      </c>
    </row>
    <row r="14" customFormat="false" ht="15" hidden="false" customHeight="false" outlineLevel="0" collapsed="false">
      <c r="A14" s="4" t="s">
        <v>29</v>
      </c>
      <c r="B14" s="4" t="s">
        <v>30</v>
      </c>
      <c r="C14" s="5" t="n">
        <v>0</v>
      </c>
      <c r="D14" s="5" t="n">
        <v>4120787</v>
      </c>
      <c r="E14" s="5" t="n">
        <v>23000000</v>
      </c>
      <c r="F14" s="5" t="n">
        <v>7133379</v>
      </c>
      <c r="G14" s="5" t="n">
        <v>0</v>
      </c>
      <c r="H14" s="6" t="n">
        <f aca="false">C14+D14</f>
        <v>4120787</v>
      </c>
      <c r="I14" s="6" t="n">
        <f aca="false">E14+F14+G14</f>
        <v>30133379</v>
      </c>
      <c r="J14" s="6" t="n">
        <f aca="false">H14-I14</f>
        <v>-26012592</v>
      </c>
      <c r="K14" s="6" t="n">
        <f aca="false">L13</f>
        <v>-131734574</v>
      </c>
      <c r="L14" s="6" t="n">
        <f aca="false">K14+J14</f>
        <v>-157747166</v>
      </c>
    </row>
    <row r="15" customFormat="false" ht="15" hidden="false" customHeight="false" outlineLevel="0" collapsed="false">
      <c r="A15" s="7" t="s">
        <v>31</v>
      </c>
      <c r="B15" s="7" t="s">
        <v>18</v>
      </c>
      <c r="C15" s="8" t="n">
        <v>45784743</v>
      </c>
      <c r="D15" s="8" t="n">
        <v>4120787</v>
      </c>
      <c r="E15" s="8" t="n">
        <v>23000000</v>
      </c>
      <c r="F15" s="8" t="n">
        <v>7133379</v>
      </c>
      <c r="G15" s="8" t="n">
        <v>0</v>
      </c>
      <c r="H15" s="9" t="n">
        <f aca="false">C15+D15</f>
        <v>49905530</v>
      </c>
      <c r="I15" s="9" t="n">
        <f aca="false">E15+F15+G15</f>
        <v>30133379</v>
      </c>
      <c r="J15" s="9" t="n">
        <f aca="false">H15-I15</f>
        <v>19772151</v>
      </c>
      <c r="K15" s="9" t="n">
        <f aca="false">L14</f>
        <v>-157747166</v>
      </c>
      <c r="L15" s="9" t="n">
        <f aca="false">K15+J15</f>
        <v>-137975015</v>
      </c>
    </row>
    <row r="16" customFormat="false" ht="15" hidden="false" customHeight="false" outlineLevel="0" collapsed="false">
      <c r="A16" s="4" t="s">
        <v>32</v>
      </c>
      <c r="B16" s="4" t="s">
        <v>20</v>
      </c>
      <c r="C16" s="5" t="n">
        <v>0</v>
      </c>
      <c r="D16" s="5" t="n">
        <v>4120787</v>
      </c>
      <c r="E16" s="5" t="n">
        <v>23000000</v>
      </c>
      <c r="F16" s="5" t="n">
        <v>7133379</v>
      </c>
      <c r="G16" s="5" t="n">
        <v>0</v>
      </c>
      <c r="H16" s="6" t="n">
        <f aca="false">C16+D16</f>
        <v>4120787</v>
      </c>
      <c r="I16" s="6" t="n">
        <f aca="false">E16+F16+G16</f>
        <v>30133379</v>
      </c>
      <c r="J16" s="6" t="n">
        <f aca="false">H16-I16</f>
        <v>-26012592</v>
      </c>
      <c r="K16" s="6" t="n">
        <f aca="false">L15</f>
        <v>-137975015</v>
      </c>
      <c r="L16" s="6" t="n">
        <f aca="false">K16+J16</f>
        <v>-163987607</v>
      </c>
    </row>
    <row r="17" customFormat="false" ht="15" hidden="false" customHeight="false" outlineLevel="0" collapsed="false">
      <c r="A17" s="7" t="s">
        <v>33</v>
      </c>
      <c r="B17" s="7" t="s">
        <v>22</v>
      </c>
      <c r="C17" s="8" t="n">
        <v>0</v>
      </c>
      <c r="D17" s="8" t="n">
        <v>4120787</v>
      </c>
      <c r="E17" s="8" t="n">
        <v>23000000</v>
      </c>
      <c r="F17" s="8" t="n">
        <v>7133379</v>
      </c>
      <c r="G17" s="8" t="n">
        <v>0</v>
      </c>
      <c r="H17" s="9" t="n">
        <f aca="false">C17+D17</f>
        <v>4120787</v>
      </c>
      <c r="I17" s="9" t="n">
        <f aca="false">E17+F17+G17</f>
        <v>30133379</v>
      </c>
      <c r="J17" s="9" t="n">
        <f aca="false">H17-I17</f>
        <v>-26012592</v>
      </c>
      <c r="K17" s="9" t="n">
        <f aca="false">L16</f>
        <v>-163987607</v>
      </c>
      <c r="L17" s="9" t="n">
        <f aca="false">K17+J17</f>
        <v>-190000199</v>
      </c>
    </row>
    <row r="18" customFormat="false" ht="15" hidden="false" customHeight="false" outlineLevel="0" collapsed="false">
      <c r="A18" s="4" t="s">
        <v>34</v>
      </c>
      <c r="B18" s="4" t="s">
        <v>24</v>
      </c>
      <c r="C18" s="5" t="n">
        <v>0</v>
      </c>
      <c r="D18" s="5" t="n">
        <v>4120787</v>
      </c>
      <c r="E18" s="5" t="n">
        <v>23000000</v>
      </c>
      <c r="F18" s="5" t="n">
        <v>7133379</v>
      </c>
      <c r="G18" s="5" t="n">
        <v>0</v>
      </c>
      <c r="H18" s="6" t="n">
        <f aca="false">C18+D18</f>
        <v>4120787</v>
      </c>
      <c r="I18" s="6" t="n">
        <f aca="false">E18+F18+G18</f>
        <v>30133379</v>
      </c>
      <c r="J18" s="6" t="n">
        <f aca="false">H18-I18</f>
        <v>-26012592</v>
      </c>
      <c r="K18" s="6" t="n">
        <f aca="false">L17</f>
        <v>-190000199</v>
      </c>
      <c r="L18" s="6" t="n">
        <f aca="false">K18+J18</f>
        <v>-216012791</v>
      </c>
    </row>
    <row r="19" customFormat="false" ht="15" hidden="false" customHeight="false" outlineLevel="0" collapsed="false">
      <c r="A19" s="7" t="s">
        <v>35</v>
      </c>
      <c r="B19" s="7" t="s">
        <v>26</v>
      </c>
      <c r="C19" s="8" t="n">
        <v>64287399</v>
      </c>
      <c r="D19" s="8" t="n">
        <v>4120787</v>
      </c>
      <c r="E19" s="8" t="n">
        <v>23000000</v>
      </c>
      <c r="F19" s="8" t="n">
        <v>7133379</v>
      </c>
      <c r="G19" s="8" t="n">
        <v>0</v>
      </c>
      <c r="H19" s="9" t="n">
        <f aca="false">C19+D19</f>
        <v>68408186</v>
      </c>
      <c r="I19" s="9" t="n">
        <f aca="false">E19+F19+G19</f>
        <v>30133379</v>
      </c>
      <c r="J19" s="9" t="n">
        <f aca="false">H19-I19</f>
        <v>38274807</v>
      </c>
      <c r="K19" s="9" t="n">
        <f aca="false">L18</f>
        <v>-216012791</v>
      </c>
      <c r="L19" s="9" t="n">
        <f aca="false">K19+J19</f>
        <v>-177737984</v>
      </c>
    </row>
    <row r="20" customFormat="false" ht="15" hidden="false" customHeight="false" outlineLevel="0" collapsed="false">
      <c r="A20" s="4" t="s">
        <v>36</v>
      </c>
      <c r="B20" s="4" t="s">
        <v>28</v>
      </c>
      <c r="C20" s="5" t="n">
        <v>111564646</v>
      </c>
      <c r="D20" s="5" t="n">
        <v>4120787</v>
      </c>
      <c r="E20" s="5" t="n">
        <v>23000000</v>
      </c>
      <c r="F20" s="5" t="n">
        <v>7133379</v>
      </c>
      <c r="G20" s="5" t="n">
        <v>0</v>
      </c>
      <c r="H20" s="6" t="n">
        <f aca="false">C20+D20</f>
        <v>115685433</v>
      </c>
      <c r="I20" s="6" t="n">
        <f aca="false">E20+F20+G20</f>
        <v>30133379</v>
      </c>
      <c r="J20" s="6" t="n">
        <f aca="false">H20-I20</f>
        <v>85552054</v>
      </c>
      <c r="K20" s="6" t="n">
        <f aca="false">L19</f>
        <v>-177737984</v>
      </c>
      <c r="L20" s="6" t="n">
        <f aca="false">K20+J20</f>
        <v>-92185930</v>
      </c>
    </row>
    <row r="21" customFormat="false" ht="15" hidden="false" customHeight="false" outlineLevel="0" collapsed="false">
      <c r="A21" s="7" t="s">
        <v>37</v>
      </c>
      <c r="B21" s="7" t="s">
        <v>30</v>
      </c>
      <c r="C21" s="8" t="n">
        <v>0</v>
      </c>
      <c r="D21" s="8" t="n">
        <v>4120787</v>
      </c>
      <c r="E21" s="8" t="n">
        <v>23000000</v>
      </c>
      <c r="F21" s="8" t="n">
        <v>7133379</v>
      </c>
      <c r="G21" s="8" t="n">
        <v>0</v>
      </c>
      <c r="H21" s="9" t="n">
        <f aca="false">C21+D21</f>
        <v>4120787</v>
      </c>
      <c r="I21" s="9" t="n">
        <f aca="false">E21+F21+G21</f>
        <v>30133379</v>
      </c>
      <c r="J21" s="9" t="n">
        <f aca="false">H21-I21</f>
        <v>-26012592</v>
      </c>
      <c r="K21" s="9" t="n">
        <f aca="false">L20</f>
        <v>-92185930</v>
      </c>
      <c r="L21" s="9" t="n">
        <f aca="false">K21+J21</f>
        <v>-118198522</v>
      </c>
    </row>
    <row r="22" customFormat="false" ht="15" hidden="false" customHeight="false" outlineLevel="0" collapsed="false">
      <c r="A22" s="4" t="s">
        <v>38</v>
      </c>
      <c r="B22" s="4" t="s">
        <v>18</v>
      </c>
      <c r="C22" s="5" t="n">
        <v>81956008</v>
      </c>
      <c r="D22" s="5" t="n">
        <v>4120787</v>
      </c>
      <c r="E22" s="5" t="n">
        <v>23000000</v>
      </c>
      <c r="F22" s="5" t="n">
        <v>7133379</v>
      </c>
      <c r="G22" s="5" t="n">
        <v>0</v>
      </c>
      <c r="H22" s="6" t="n">
        <f aca="false">C22+D22</f>
        <v>86076795</v>
      </c>
      <c r="I22" s="6" t="n">
        <f aca="false">E22+F22+G22</f>
        <v>30133379</v>
      </c>
      <c r="J22" s="6" t="n">
        <f aca="false">H22-I22</f>
        <v>55943416</v>
      </c>
      <c r="K22" s="6" t="n">
        <f aca="false">L21</f>
        <v>-118198522</v>
      </c>
      <c r="L22" s="6" t="n">
        <f aca="false">K22+J22</f>
        <v>-62255106</v>
      </c>
    </row>
    <row r="23" customFormat="false" ht="15" hidden="false" customHeight="false" outlineLevel="0" collapsed="false">
      <c r="A23" s="7" t="s">
        <v>39</v>
      </c>
      <c r="B23" s="7" t="s">
        <v>20</v>
      </c>
      <c r="C23" s="8" t="n">
        <v>0</v>
      </c>
      <c r="D23" s="8" t="n">
        <v>4120787</v>
      </c>
      <c r="E23" s="8" t="n">
        <v>23000000</v>
      </c>
      <c r="F23" s="8" t="n">
        <v>7133379</v>
      </c>
      <c r="G23" s="8" t="n">
        <v>0</v>
      </c>
      <c r="H23" s="9" t="n">
        <f aca="false">C23+D23</f>
        <v>4120787</v>
      </c>
      <c r="I23" s="9" t="n">
        <f aca="false">E23+F23+G23</f>
        <v>30133379</v>
      </c>
      <c r="J23" s="9" t="n">
        <f aca="false">H23-I23</f>
        <v>-26012592</v>
      </c>
      <c r="K23" s="9" t="n">
        <f aca="false">L22</f>
        <v>-62255106</v>
      </c>
      <c r="L23" s="9" t="n">
        <f aca="false">K23+J23</f>
        <v>-88267698</v>
      </c>
    </row>
    <row r="24" customFormat="false" ht="15" hidden="false" customHeight="false" outlineLevel="0" collapsed="false">
      <c r="A24" s="4" t="s">
        <v>40</v>
      </c>
      <c r="B24" s="4" t="s">
        <v>22</v>
      </c>
      <c r="C24" s="5" t="n">
        <v>0</v>
      </c>
      <c r="D24" s="5" t="n">
        <v>4120787</v>
      </c>
      <c r="E24" s="5" t="n">
        <v>23000000</v>
      </c>
      <c r="F24" s="5" t="n">
        <v>7133379</v>
      </c>
      <c r="G24" s="5" t="n">
        <v>0</v>
      </c>
      <c r="H24" s="6" t="n">
        <f aca="false">C24+D24</f>
        <v>4120787</v>
      </c>
      <c r="I24" s="6" t="n">
        <f aca="false">E24+F24+G24</f>
        <v>30133379</v>
      </c>
      <c r="J24" s="6" t="n">
        <f aca="false">H24-I24</f>
        <v>-26012592</v>
      </c>
      <c r="K24" s="6" t="n">
        <f aca="false">L23</f>
        <v>-88267698</v>
      </c>
      <c r="L24" s="6" t="n">
        <f aca="false">K24+J24</f>
        <v>-114280290</v>
      </c>
    </row>
    <row r="25" customFormat="false" ht="15" hidden="false" customHeight="false" outlineLevel="0" collapsed="false">
      <c r="A25" s="7" t="s">
        <v>41</v>
      </c>
      <c r="B25" s="7" t="s">
        <v>24</v>
      </c>
      <c r="C25" s="8" t="n">
        <v>0</v>
      </c>
      <c r="D25" s="8" t="n">
        <v>4120787</v>
      </c>
      <c r="E25" s="8" t="n">
        <v>23000000</v>
      </c>
      <c r="F25" s="8" t="n">
        <v>7133379</v>
      </c>
      <c r="G25" s="8" t="n">
        <v>0</v>
      </c>
      <c r="H25" s="9" t="n">
        <f aca="false">C25+D25</f>
        <v>4120787</v>
      </c>
      <c r="I25" s="9" t="n">
        <f aca="false">E25+F25+G25</f>
        <v>30133379</v>
      </c>
      <c r="J25" s="9" t="n">
        <f aca="false">H25-I25</f>
        <v>-26012592</v>
      </c>
      <c r="K25" s="9" t="n">
        <f aca="false">L24</f>
        <v>-114280290</v>
      </c>
      <c r="L25" s="9" t="n">
        <f aca="false">K25+J25</f>
        <v>-140292882</v>
      </c>
    </row>
    <row r="26" customFormat="false" ht="15" hidden="false" customHeight="false" outlineLevel="0" collapsed="false">
      <c r="A26" s="4" t="s">
        <v>42</v>
      </c>
      <c r="B26" s="4" t="s">
        <v>26</v>
      </c>
      <c r="C26" s="5" t="n">
        <v>89967240</v>
      </c>
      <c r="D26" s="5" t="n">
        <v>4120787</v>
      </c>
      <c r="E26" s="5" t="n">
        <v>23000000</v>
      </c>
      <c r="F26" s="5" t="n">
        <v>7133379</v>
      </c>
      <c r="G26" s="5" t="n">
        <v>0</v>
      </c>
      <c r="H26" s="6" t="n">
        <f aca="false">C26+D26</f>
        <v>94088027</v>
      </c>
      <c r="I26" s="6" t="n">
        <f aca="false">E26+F26+G26</f>
        <v>30133379</v>
      </c>
      <c r="J26" s="6" t="n">
        <f aca="false">H26-I26</f>
        <v>63954648</v>
      </c>
      <c r="K26" s="6" t="n">
        <f aca="false">L25</f>
        <v>-140292882</v>
      </c>
      <c r="L26" s="6" t="n">
        <f aca="false">K26+J26</f>
        <v>-76338234</v>
      </c>
    </row>
    <row r="27" customFormat="false" ht="15" hidden="false" customHeight="false" outlineLevel="0" collapsed="false">
      <c r="A27" s="7" t="s">
        <v>43</v>
      </c>
      <c r="B27" s="7" t="s">
        <v>28</v>
      </c>
      <c r="C27" s="8" t="n">
        <v>145519103</v>
      </c>
      <c r="D27" s="8" t="n">
        <v>4120787</v>
      </c>
      <c r="E27" s="8" t="n">
        <v>23000000</v>
      </c>
      <c r="F27" s="8" t="n">
        <v>7133379</v>
      </c>
      <c r="G27" s="8" t="n">
        <v>0</v>
      </c>
      <c r="H27" s="9" t="n">
        <f aca="false">C27+D27</f>
        <v>149639890</v>
      </c>
      <c r="I27" s="9" t="n">
        <f aca="false">E27+F27+G27</f>
        <v>30133379</v>
      </c>
      <c r="J27" s="9" t="n">
        <f aca="false">H27-I27</f>
        <v>119506511</v>
      </c>
      <c r="K27" s="9" t="n">
        <f aca="false">L26</f>
        <v>-76338234</v>
      </c>
      <c r="L27" s="9" t="n">
        <f aca="false">K27+J27</f>
        <v>43168277</v>
      </c>
    </row>
    <row r="28" customFormat="false" ht="15" hidden="false" customHeight="false" outlineLevel="0" collapsed="false">
      <c r="A28" s="4" t="s">
        <v>44</v>
      </c>
      <c r="B28" s="4" t="s">
        <v>30</v>
      </c>
      <c r="C28" s="5" t="n">
        <v>0</v>
      </c>
      <c r="D28" s="5" t="n">
        <v>4120787</v>
      </c>
      <c r="E28" s="5" t="n">
        <v>23000000</v>
      </c>
      <c r="F28" s="5" t="n">
        <v>7133379</v>
      </c>
      <c r="G28" s="5" t="n">
        <v>0</v>
      </c>
      <c r="H28" s="6" t="n">
        <f aca="false">C28+D28</f>
        <v>4120787</v>
      </c>
      <c r="I28" s="6" t="n">
        <f aca="false">E28+F28+G28</f>
        <v>30133379</v>
      </c>
      <c r="J28" s="6" t="n">
        <f aca="false">H28-I28</f>
        <v>-26012592</v>
      </c>
      <c r="K28" s="6" t="n">
        <f aca="false">L27</f>
        <v>43168277</v>
      </c>
      <c r="L28" s="6" t="n">
        <f aca="false">K28+J28</f>
        <v>17155685</v>
      </c>
    </row>
    <row r="29" customFormat="false" ht="15" hidden="false" customHeight="false" outlineLevel="0" collapsed="false">
      <c r="A29" s="7" t="s">
        <v>45</v>
      </c>
      <c r="B29" s="7" t="s">
        <v>18</v>
      </c>
      <c r="C29" s="8" t="n">
        <v>100305023</v>
      </c>
      <c r="D29" s="8" t="n">
        <v>4120787</v>
      </c>
      <c r="E29" s="8" t="n">
        <v>23000000</v>
      </c>
      <c r="F29" s="8" t="n">
        <v>7133379</v>
      </c>
      <c r="G29" s="8" t="n">
        <v>0</v>
      </c>
      <c r="H29" s="9" t="n">
        <f aca="false">C29+D29</f>
        <v>104425810</v>
      </c>
      <c r="I29" s="9" t="n">
        <f aca="false">E29+F29+G29</f>
        <v>30133379</v>
      </c>
      <c r="J29" s="9" t="n">
        <f aca="false">H29-I29</f>
        <v>74292431</v>
      </c>
      <c r="K29" s="9" t="n">
        <f aca="false">L28</f>
        <v>17155685</v>
      </c>
      <c r="L29" s="9" t="n">
        <f aca="false">K29+J29</f>
        <v>91448116</v>
      </c>
    </row>
    <row r="30" customFormat="false" ht="15" hidden="false" customHeight="false" outlineLevel="0" collapsed="false">
      <c r="A30" s="4" t="s">
        <v>46</v>
      </c>
      <c r="B30" s="4" t="s">
        <v>20</v>
      </c>
      <c r="C30" s="5" t="n">
        <v>0</v>
      </c>
      <c r="D30" s="5" t="n">
        <v>4120787</v>
      </c>
      <c r="E30" s="5" t="n">
        <v>23000000</v>
      </c>
      <c r="F30" s="5" t="n">
        <v>7133379</v>
      </c>
      <c r="G30" s="5" t="n">
        <v>0</v>
      </c>
      <c r="H30" s="6" t="n">
        <f aca="false">C30+D30</f>
        <v>4120787</v>
      </c>
      <c r="I30" s="6" t="n">
        <f aca="false">E30+F30+G30</f>
        <v>30133379</v>
      </c>
      <c r="J30" s="6" t="n">
        <f aca="false">H30-I30</f>
        <v>-26012592</v>
      </c>
      <c r="K30" s="6" t="n">
        <f aca="false">L29</f>
        <v>91448116</v>
      </c>
      <c r="L30" s="6" t="n">
        <f aca="false">K30+J30</f>
        <v>65435524</v>
      </c>
    </row>
    <row r="31" customFormat="false" ht="15" hidden="false" customHeight="false" outlineLevel="0" collapsed="false">
      <c r="A31" s="7" t="s">
        <v>47</v>
      </c>
      <c r="B31" s="7" t="s">
        <v>22</v>
      </c>
      <c r="C31" s="8" t="n">
        <v>0</v>
      </c>
      <c r="D31" s="8" t="n">
        <v>4120787</v>
      </c>
      <c r="E31" s="8" t="n">
        <v>23000000</v>
      </c>
      <c r="F31" s="8" t="n">
        <v>7133379</v>
      </c>
      <c r="G31" s="8" t="n">
        <v>0</v>
      </c>
      <c r="H31" s="9" t="n">
        <f aca="false">C31+D31</f>
        <v>4120787</v>
      </c>
      <c r="I31" s="9" t="n">
        <f aca="false">E31+F31+G31</f>
        <v>30133379</v>
      </c>
      <c r="J31" s="9" t="n">
        <f aca="false">H31-I31</f>
        <v>-26012592</v>
      </c>
      <c r="K31" s="9" t="n">
        <f aca="false">L30</f>
        <v>65435524</v>
      </c>
      <c r="L31" s="9" t="n">
        <f aca="false">K31+J31</f>
        <v>39422932</v>
      </c>
    </row>
    <row r="32" customFormat="false" ht="15" hidden="false" customHeight="false" outlineLevel="0" collapsed="false">
      <c r="A32" s="4" t="s">
        <v>48</v>
      </c>
      <c r="B32" s="4" t="s">
        <v>24</v>
      </c>
      <c r="C32" s="5" t="n">
        <v>0</v>
      </c>
      <c r="D32" s="5" t="n">
        <v>4120787</v>
      </c>
      <c r="E32" s="5" t="n">
        <v>23000000</v>
      </c>
      <c r="F32" s="5" t="n">
        <v>7133379</v>
      </c>
      <c r="G32" s="5" t="n">
        <v>0</v>
      </c>
      <c r="H32" s="6" t="n">
        <f aca="false">C32+D32</f>
        <v>4120787</v>
      </c>
      <c r="I32" s="6" t="n">
        <f aca="false">E32+F32+G32</f>
        <v>30133379</v>
      </c>
      <c r="J32" s="6" t="n">
        <f aca="false">H32-I32</f>
        <v>-26012592</v>
      </c>
      <c r="K32" s="6" t="n">
        <f aca="false">L31</f>
        <v>39422932</v>
      </c>
      <c r="L32" s="6" t="n">
        <f aca="false">K32+J32</f>
        <v>13410340</v>
      </c>
    </row>
    <row r="33" customFormat="false" ht="15" hidden="false" customHeight="false" outlineLevel="0" collapsed="false">
      <c r="A33" s="7" t="s">
        <v>49</v>
      </c>
      <c r="B33" s="7" t="s">
        <v>26</v>
      </c>
      <c r="C33" s="8" t="n">
        <v>101687784</v>
      </c>
      <c r="D33" s="8" t="n">
        <v>4120787</v>
      </c>
      <c r="E33" s="8" t="n">
        <v>23000000</v>
      </c>
      <c r="F33" s="8" t="n">
        <v>7133379</v>
      </c>
      <c r="G33" s="8" t="n">
        <v>0</v>
      </c>
      <c r="H33" s="9" t="n">
        <f aca="false">C33+D33</f>
        <v>105808571</v>
      </c>
      <c r="I33" s="9" t="n">
        <f aca="false">E33+F33+G33</f>
        <v>30133379</v>
      </c>
      <c r="J33" s="9" t="n">
        <f aca="false">H33-I33</f>
        <v>75675192</v>
      </c>
      <c r="K33" s="9" t="n">
        <f aca="false">L32</f>
        <v>13410340</v>
      </c>
      <c r="L33" s="9" t="n">
        <f aca="false">K33+J33</f>
        <v>89085532</v>
      </c>
    </row>
    <row r="34" customFormat="false" ht="15" hidden="false" customHeight="false" outlineLevel="0" collapsed="false">
      <c r="A34" s="4" t="s">
        <v>50</v>
      </c>
      <c r="B34" s="4" t="s">
        <v>28</v>
      </c>
      <c r="C34" s="5" t="n">
        <v>154035153</v>
      </c>
      <c r="D34" s="5" t="n">
        <v>4120787</v>
      </c>
      <c r="E34" s="5" t="n">
        <v>23000000</v>
      </c>
      <c r="F34" s="5" t="n">
        <v>7133379</v>
      </c>
      <c r="G34" s="5" t="n">
        <v>0</v>
      </c>
      <c r="H34" s="6" t="n">
        <f aca="false">C34+D34</f>
        <v>158155940</v>
      </c>
      <c r="I34" s="6" t="n">
        <f aca="false">E34+F34+G34</f>
        <v>30133379</v>
      </c>
      <c r="J34" s="6" t="n">
        <f aca="false">H34-I34</f>
        <v>128022561</v>
      </c>
      <c r="K34" s="6" t="n">
        <f aca="false">L33</f>
        <v>89085532</v>
      </c>
      <c r="L34" s="6" t="n">
        <f aca="false">K34+J34</f>
        <v>217108093</v>
      </c>
    </row>
    <row r="35" customFormat="false" ht="15" hidden="false" customHeight="false" outlineLevel="0" collapsed="false">
      <c r="A35" s="7" t="s">
        <v>51</v>
      </c>
      <c r="B35" s="7" t="s">
        <v>30</v>
      </c>
      <c r="C35" s="8" t="n">
        <v>0</v>
      </c>
      <c r="D35" s="8" t="n">
        <v>4120787</v>
      </c>
      <c r="E35" s="8" t="n">
        <v>23000000</v>
      </c>
      <c r="F35" s="8" t="n">
        <v>7133379</v>
      </c>
      <c r="G35" s="8" t="n">
        <v>0</v>
      </c>
      <c r="H35" s="9" t="n">
        <f aca="false">C35+D35</f>
        <v>4120787</v>
      </c>
      <c r="I35" s="9" t="n">
        <f aca="false">E35+F35+G35</f>
        <v>30133379</v>
      </c>
      <c r="J35" s="9" t="n">
        <f aca="false">H35-I35</f>
        <v>-26012592</v>
      </c>
      <c r="K35" s="9" t="n">
        <f aca="false">L34</f>
        <v>217108093</v>
      </c>
      <c r="L35" s="9" t="n">
        <f aca="false">K35+J35</f>
        <v>191095501</v>
      </c>
    </row>
    <row r="36" customFormat="false" ht="15" hidden="false" customHeight="false" outlineLevel="0" collapsed="false">
      <c r="A36" s="4" t="s">
        <v>52</v>
      </c>
      <c r="B36" s="4" t="s">
        <v>18</v>
      </c>
      <c r="C36" s="5" t="n">
        <v>103092493</v>
      </c>
      <c r="D36" s="5" t="n">
        <v>4120787</v>
      </c>
      <c r="E36" s="5" t="n">
        <v>23000000</v>
      </c>
      <c r="F36" s="5" t="n">
        <v>7133379</v>
      </c>
      <c r="G36" s="5" t="n">
        <v>0</v>
      </c>
      <c r="H36" s="6" t="n">
        <f aca="false">C36+D36</f>
        <v>107213280</v>
      </c>
      <c r="I36" s="6" t="n">
        <f aca="false">E36+F36+G36</f>
        <v>30133379</v>
      </c>
      <c r="J36" s="6" t="n">
        <f aca="false">H36-I36</f>
        <v>77079901</v>
      </c>
      <c r="K36" s="6" t="n">
        <f aca="false">L35</f>
        <v>191095501</v>
      </c>
      <c r="L36" s="6" t="n">
        <f aca="false">K36+J36</f>
        <v>268175402</v>
      </c>
    </row>
    <row r="37" customFormat="false" ht="15" hidden="false" customHeight="false" outlineLevel="0" collapsed="false">
      <c r="A37" s="7" t="s">
        <v>53</v>
      </c>
      <c r="B37" s="7" t="s">
        <v>20</v>
      </c>
      <c r="C37" s="8" t="n">
        <v>0</v>
      </c>
      <c r="D37" s="8" t="n">
        <v>4120787</v>
      </c>
      <c r="E37" s="8" t="n">
        <v>23000000</v>
      </c>
      <c r="F37" s="8" t="n">
        <v>7133379</v>
      </c>
      <c r="G37" s="8" t="n">
        <v>0</v>
      </c>
      <c r="H37" s="9" t="n">
        <f aca="false">C37+D37</f>
        <v>4120787</v>
      </c>
      <c r="I37" s="9" t="n">
        <f aca="false">E37+F37+G37</f>
        <v>30133379</v>
      </c>
      <c r="J37" s="9" t="n">
        <f aca="false">H37-I37</f>
        <v>-26012592</v>
      </c>
      <c r="K37" s="9" t="n">
        <f aca="false">L36</f>
        <v>268175402</v>
      </c>
      <c r="L37" s="9" t="n">
        <f aca="false">K37+J37</f>
        <v>242162810</v>
      </c>
    </row>
    <row r="38" customFormat="false" ht="15" hidden="false" customHeight="false" outlineLevel="0" collapsed="false">
      <c r="A38" s="10" t="s">
        <v>54</v>
      </c>
      <c r="B38" s="11"/>
      <c r="C38" s="12" t="n">
        <f aca="false">SUM(C8:C37)</f>
        <v>1022540570</v>
      </c>
      <c r="D38" s="12" t="n">
        <f aca="false">SUM(D8:D37)</f>
        <v>123623610</v>
      </c>
      <c r="E38" s="12" t="n">
        <f aca="false">SUM(E8:E37)</f>
        <v>690000000</v>
      </c>
      <c r="F38" s="12" t="n">
        <f aca="false">SUM(F8:F37)</f>
        <v>214001370</v>
      </c>
      <c r="G38" s="12" t="n">
        <f aca="false">SUM(G8:G37)</f>
        <v>0</v>
      </c>
      <c r="H38" s="12" t="n">
        <f aca="false">SUM(H8:H37)</f>
        <v>1146164180</v>
      </c>
      <c r="I38" s="12" t="n">
        <f aca="false">SUM(I8:I37)</f>
        <v>904001370</v>
      </c>
      <c r="J38" s="12" t="n">
        <f aca="false">SUM(J8:J37)</f>
        <v>242162810</v>
      </c>
      <c r="K38" s="13"/>
      <c r="L38" s="12" t="n">
        <f aca="false">L37</f>
        <v>242162810</v>
      </c>
    </row>
  </sheetData>
  <mergeCells count="5">
    <mergeCell ref="A1:L1"/>
    <mergeCell ref="A2:L2"/>
    <mergeCell ref="A3:L3"/>
    <mergeCell ref="A4:L4"/>
    <mergeCell ref="A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2026-07-09T16:59:42Z</dcterms:created>
  <dc:creator>openpyxl</dc:creator>
  <dc:description/>
  <dc:language>en-US</dc:language>
  <cp:lastModifiedBy/>
  <dcterms:modified xsi:type="dcterms:W3CDTF">2026-07-09T16:59:42Z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